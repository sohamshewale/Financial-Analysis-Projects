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9351B8E1-9728-8E5E-8161-817DCB669FF3}"/>
  <workbookPr filterPrivacy="1" codeName="ThisWorkbook" defaultThemeVersion="124226"/>
  <xr:revisionPtr revIDLastSave="0" documentId="8_{26B0F2F4-DB18-4C6C-B1BD-DBF124E1A0D3}" xr6:coauthVersionLast="47" xr6:coauthVersionMax="47" xr10:uidLastSave="{00000000-0000-0000-0000-000000000000}"/>
  <bookViews>
    <workbookView xWindow="15750" yWindow="60" windowWidth="13005" windowHeight="15000" firstSheet="6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</workbook>
</file>

<file path=xl/calcChain.xml><?xml version="1.0" encoding="utf-8"?>
<calcChain xmlns="http://schemas.openxmlformats.org/spreadsheetml/2006/main">
  <c r="D29" i="21" l="1"/>
  <c r="E29" i="21"/>
  <c r="C29" i="21"/>
  <c r="E28" i="21"/>
  <c r="D28" i="21"/>
  <c r="C28" i="21"/>
  <c r="E27" i="21"/>
  <c r="D27" i="21"/>
  <c r="C27" i="21"/>
  <c r="H24" i="21"/>
  <c r="G24" i="21"/>
  <c r="H23" i="21"/>
  <c r="G23" i="21"/>
  <c r="H22" i="21"/>
  <c r="G22" i="21"/>
  <c r="H21" i="21"/>
  <c r="G21" i="21"/>
  <c r="H20" i="21"/>
  <c r="G20" i="21"/>
  <c r="H19" i="21"/>
  <c r="G19" i="21"/>
  <c r="H18" i="21"/>
  <c r="G18" i="21"/>
  <c r="H17" i="21"/>
  <c r="G17" i="21"/>
  <c r="H16" i="21"/>
  <c r="G16" i="21"/>
  <c r="H15" i="21"/>
  <c r="G15" i="21"/>
  <c r="H14" i="21"/>
  <c r="G14" i="21"/>
  <c r="H13" i="21"/>
  <c r="G13" i="21"/>
  <c r="H12" i="21"/>
  <c r="G12" i="21"/>
  <c r="H11" i="21"/>
  <c r="G11" i="21"/>
  <c r="H10" i="21"/>
  <c r="G10" i="21"/>
  <c r="H9" i="21"/>
  <c r="G9" i="21"/>
  <c r="H8" i="21"/>
  <c r="G8" i="21"/>
  <c r="H7" i="21"/>
  <c r="G7" i="21"/>
  <c r="H6" i="21"/>
  <c r="G6" i="21"/>
  <c r="H5" i="21"/>
  <c r="G5" i="21"/>
  <c r="H4" i="21"/>
  <c r="G4" i="21"/>
  <c r="C4" i="21"/>
  <c r="E23" i="21"/>
  <c r="D23" i="21"/>
  <c r="C23" i="21"/>
  <c r="E21" i="21"/>
  <c r="D21" i="21"/>
  <c r="C21" i="21"/>
  <c r="E20" i="21"/>
  <c r="D20" i="21"/>
  <c r="C20" i="21"/>
  <c r="E18" i="21"/>
  <c r="D18" i="21"/>
  <c r="C18" i="21"/>
  <c r="E16" i="21"/>
  <c r="D16" i="21"/>
  <c r="C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10" i="21"/>
  <c r="D10" i="21"/>
  <c r="C10" i="21"/>
  <c r="E8" i="21"/>
  <c r="E9" i="21" s="1"/>
  <c r="D8" i="21"/>
  <c r="C8" i="21"/>
  <c r="E6" i="21"/>
  <c r="D6" i="21"/>
  <c r="C6" i="21"/>
  <c r="E5" i="21"/>
  <c r="D5" i="21"/>
  <c r="C5" i="21"/>
  <c r="E4" i="21"/>
  <c r="D4" i="21"/>
  <c r="D7" i="21" s="1"/>
  <c r="E7" i="21"/>
  <c r="H94" i="10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7" i="21" l="1"/>
  <c r="E19" i="21" s="1"/>
  <c r="E22" i="21" s="1"/>
  <c r="E24" i="21" s="1"/>
  <c r="D9" i="21"/>
  <c r="D17" i="21" s="1"/>
  <c r="D19" i="21" s="1"/>
  <c r="D22" i="21" s="1"/>
  <c r="D24" i="21" s="1"/>
  <c r="C7" i="21"/>
  <c r="C9" i="21" s="1"/>
  <c r="C17" i="21" s="1"/>
  <c r="C19" i="21" s="1"/>
  <c r="C22" i="21" s="1"/>
  <c r="C24" i="21" s="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<sst xmlns="http://schemas.openxmlformats.org/spreadsheetml/2006/main" count="985" uniqueCount="250">
  <si>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</si>
  <si>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</si>
  <si>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</si>
  <si>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</si>
  <si>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</si>
  <si>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</si>
  <si>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</si>
  <si>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</si>
  <si>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</si>
  <si>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</si>
  <si>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</si>
  <si>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</si>
  <si>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</si>
  <si>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</si>
  <si>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</si>
  <si>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</si>
  <si>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</si>
  <si>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</si>
  <si>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</si>
  <si>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</si>
  <si>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</si>
  <si>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</si>
  <si>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</si>
  <si>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</si>
  <si>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</si>
  <si>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</si>
  <si>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</si>
  <si>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</si>
  <si>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</si>
  <si>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</si>
  <si>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</si>
  <si>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</si>
  <si>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</si>
  <si>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</si>
  <si>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</si>
  <si>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</si>
  <si>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</si>
  <si>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</si>
  <si>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</si>
  <si>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</si>
  <si>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</si>
  <si>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</si>
  <si>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</si>
  <si>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</si>
  <si>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</si>
  <si>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</si>
  <si>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</si>
  <si>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</si>
  <si>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</si>
  <si>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</si>
  <si>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</si>
  <si>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</si>
  <si>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</si>
  <si>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</si>
  <si>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</si>
  <si>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</si>
  <si>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</si>
  <si>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</si>
  <si>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</si>
  <si>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</si>
  <si>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</si>
  <si>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</si>
  <si>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</si>
  <si>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</si>
  <si>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</si>
  <si>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</si>
  <si>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</si>
  <si>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</si>
  <si>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</si>
  <si>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</si>
  <si>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</si>
  <si>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</si>
  <si>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</si>
  <si>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</si>
  <si>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</si>
  <si>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</si>
  <si>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</si>
  <si>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</si>
  <si>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</si>
  <si>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</si>
  <si>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</si>
  <si>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</si>
  <si>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</si>
  <si>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</si>
  <si>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</si>
  <si>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</si>
  <si>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</si>
  <si>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</si>
  <si>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</si>
  <si>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</si>
  <si>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</si>
  <si>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</si>
  <si>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</si>
  <si>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</si>
  <si>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</si>
  <si>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</si>
  <si>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</si>
  <si>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</si>
  <si>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</si>
  <si>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</si>
  <si>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</si>
  <si>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</si>
  <si>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</si>
  <si>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</si>
  <si>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</si>
  <si>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</si>
  <si>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</si>
  <si>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</si>
  <si>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</si>
  <si>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</si>
  <si>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</si>
  <si>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</si>
  <si>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</si>
  <si>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</si>
  <si>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</si>
  <si>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</si>
  <si>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</si>
  <si>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</si>
  <si>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</si>
  <si>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</si>
  <si>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</si>
  <si>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</si>
  <si>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</si>
  <si>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</si>
  <si>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</si>
  <si>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</si>
  <si>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</si>
  <si>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</si>
  <si>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</si>
  <si>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</si>
  <si>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</si>
  <si>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</si>
  <si>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</si>
  <si>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</si>
  <si>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</si>
  <si>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</si>
  <si>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</si>
  <si>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</si>
  <si>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</si>
  <si>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</si>
  <si>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</si>
  <si>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</si>
  <si>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</si>
  <si>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</si>
  <si>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</si>
  <si>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</si>
  <si>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</si>
  <si>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</si>
  <si>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</si>
  <si>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</si>
  <si>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</si>
  <si>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</si>
  <si>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</si>
  <si>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</si>
  <si>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</si>
  <si>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</si>
  <si>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</si>
  <si>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</si>
  <si>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</si>
  <si>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</si>
  <si>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</si>
  <si>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</si>
  <si>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</si>
  <si>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</si>
  <si>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</si>
  <si>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</si>
  <si>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</si>
  <si>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</si>
  <si>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</si>
  <si>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</si>
  <si>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</si>
  <si>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</si>
  <si>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</si>
  <si>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</si>
  <si>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</si>
  <si>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</si>
  <si>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</si>
  <si>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</si>
  <si>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</si>
  <si>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</si>
  <si>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</si>
  <si>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</si>
  <si>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</si>
  <si>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</si>
  <si>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</si>
  <si>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</si>
  <si>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</si>
  <si>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</si>
  <si>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</si>
  <si>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</si>
  <si>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</si>
  <si>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</si>
  <si>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</si>
  <si>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</si>
  <si>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</si>
  <si>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</si>
  <si>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</si>
  <si>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</si>
  <si>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</si>
  <si>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</si>
  <si>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</si>
  <si>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</si>
  <si>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</si>
  <si>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</si>
  <si>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</si>
  <si>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</si>
  <si>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</si>
  <si>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</si>
  <si>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</si>
  <si>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</si>
  <si>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</si>
  <si>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</si>
  <si>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</si>
  <si>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</si>
  <si>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</si>
  <si>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</si>
  <si>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</si>
  <si>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</si>
  <si>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</si>
  <si>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</si>
  <si>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</si>
  <si>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</si>
  <si>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</si>
  <si>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</si>
  <si>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</si>
  <si>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</si>
  <si>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</si>
  <si>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</si>
  <si>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</si>
  <si>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</si>
  <si>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</si>
  <si>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</si>
  <si>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</si>
  <si>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</si>
  <si>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</si>
  <si>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</si>
  <si>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</si>
  <si>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</si>
  <si>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Total revenues</t>
  </si>
  <si>
    <t>Gross margin</t>
  </si>
  <si>
    <t>EBITDA</t>
  </si>
  <si>
    <t>EBIT</t>
  </si>
  <si>
    <t>EBT</t>
  </si>
  <si>
    <t>P&amp;L Statement</t>
  </si>
  <si>
    <t>EUR in Millions</t>
  </si>
  <si>
    <t>Var% FY16 - FY17</t>
  </si>
  <si>
    <t>Var% FY17 - FY18</t>
  </si>
  <si>
    <t>KPIs</t>
  </si>
  <si>
    <t>GM%</t>
  </si>
  <si>
    <t>EBITDA%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</si>
</sst>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71" formatCode="0.00_);\(0.00\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/>
      <top style="thin">
        <color rgb="FF002060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21" fillId="2" borderId="0" xfId="0" applyFont="1" applyFill="1"/>
    <xf numFmtId="0" fontId="22" fillId="2" borderId="3" xfId="0" applyFont="1" applyFill="1" applyBorder="1"/>
    <xf numFmtId="0" fontId="0" fillId="2" borderId="4" xfId="0" applyFill="1" applyBorder="1"/>
    <xf numFmtId="0" fontId="18" fillId="3" borderId="4" xfId="0" applyFont="1" applyFill="1" applyBorder="1"/>
    <xf numFmtId="0" fontId="19" fillId="2" borderId="5" xfId="0" applyFont="1" applyFill="1" applyBorder="1"/>
    <xf numFmtId="0" fontId="22" fillId="2" borderId="3" xfId="0" applyFont="1" applyFill="1" applyBorder="1" applyAlignment="1">
      <alignment horizontal="right"/>
    </xf>
    <xf numFmtId="2" fontId="0" fillId="2" borderId="0" xfId="0" applyNumberFormat="1" applyFill="1"/>
    <xf numFmtId="171" fontId="0" fillId="2" borderId="0" xfId="0" applyNumberFormat="1" applyFill="1"/>
    <xf numFmtId="171" fontId="0" fillId="2" borderId="4" xfId="0" applyNumberFormat="1" applyFill="1" applyBorder="1"/>
    <xf numFmtId="171" fontId="20" fillId="3" borderId="4" xfId="0" applyNumberFormat="1" applyFont="1" applyFill="1" applyBorder="1"/>
    <xf numFmtId="171" fontId="0" fillId="2" borderId="5" xfId="0" applyNumberFormat="1" applyFill="1" applyBorder="1"/>
    <xf numFmtId="0" fontId="22" fillId="2" borderId="3" xfId="0" applyFont="1" applyFill="1" applyBorder="1" applyAlignment="1">
      <alignment horizontal="right" wrapText="1"/>
    </xf>
    <xf numFmtId="171" fontId="23" fillId="2" borderId="0" xfId="0" applyNumberFormat="1" applyFont="1" applyFill="1" applyAlignment="1">
      <alignment horizontal="right"/>
    </xf>
    <xf numFmtId="171" fontId="23" fillId="2" borderId="4" xfId="0" applyNumberFormat="1" applyFont="1" applyFill="1" applyBorder="1" applyAlignment="1">
      <alignment horizontal="right"/>
    </xf>
    <xf numFmtId="171" fontId="24" fillId="3" borderId="4" xfId="0" applyNumberFormat="1" applyFont="1" applyFill="1" applyBorder="1" applyAlignment="1">
      <alignment horizontal="right"/>
    </xf>
    <xf numFmtId="171" fontId="23" fillId="2" borderId="5" xfId="0" applyNumberFormat="1" applyFont="1" applyFill="1" applyBorder="1" applyAlignment="1">
      <alignment horizontal="right"/>
    </xf>
    <xf numFmtId="0" fontId="23" fillId="5" borderId="0" xfId="0" applyFont="1" applyFill="1"/>
    <xf numFmtId="9" fontId="23" fillId="5" borderId="0" xfId="4" applyFon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6" t="s">
        <v>57</v>
      </c>
    </row>
    <row r="4" spans="2:4" ht="12.75" thickBot="1" x14ac:dyDescent="0.25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x14ac:dyDescent="0.2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x14ac:dyDescent="0.2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x14ac:dyDescent="0.2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topLeftCell="A28" workbookViewId="0">
      <selection activeCell="C61" sqref="C61"/>
    </sheetView>
  </sheetViews>
  <sheetFormatPr defaultColWidth="9.140625" defaultRowHeight="15" x14ac:dyDescent="0.25"/>
  <cols>
    <col min="1" max="1" width="2" style="2" customWidth="1"/>
    <col min="2" max="2" width="11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1" style="2" bestFit="1" customWidth="1"/>
    <col min="9" max="16384" width="9.140625" style="2"/>
  </cols>
  <sheetData>
    <row r="1" spans="2:7" ht="15.75" x14ac:dyDescent="0.25">
      <c r="C1" s="3" t="s">
        <v>112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2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2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2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2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2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2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2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2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2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2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2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2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2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2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2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2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2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2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2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2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2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2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2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2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2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2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2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2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2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2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2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2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2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2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2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2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2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2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2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2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2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2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2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2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2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2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2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2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2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2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2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2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2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2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2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2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25">
      <c r="D62" s="5"/>
    </row>
    <row r="63" spans="2:7" x14ac:dyDescent="0.25">
      <c r="D63" s="5"/>
    </row>
    <row r="64" spans="2:7" x14ac:dyDescent="0.25">
      <c r="D64" s="5"/>
    </row>
    <row r="65" spans="4:4" x14ac:dyDescent="0.25">
      <c r="D65" s="5"/>
    </row>
    <row r="66" spans="4:4" x14ac:dyDescent="0.25">
      <c r="D66" s="5"/>
    </row>
    <row r="67" spans="4:4" x14ac:dyDescent="0.25">
      <c r="D67" s="5"/>
    </row>
    <row r="68" spans="4:4" x14ac:dyDescent="0.25">
      <c r="D68" s="5"/>
    </row>
    <row r="69" spans="4:4" x14ac:dyDescent="0.25">
      <c r="D69" s="5"/>
    </row>
    <row r="70" spans="4:4" x14ac:dyDescent="0.25">
      <c r="D70" s="5"/>
    </row>
    <row r="71" spans="4:4" x14ac:dyDescent="0.25">
      <c r="D71" s="5"/>
    </row>
    <row r="72" spans="4:4" x14ac:dyDescent="0.25">
      <c r="D72" s="5"/>
    </row>
    <row r="73" spans="4:4" x14ac:dyDescent="0.25">
      <c r="D73" s="5"/>
    </row>
    <row r="74" spans="4:4" x14ac:dyDescent="0.25">
      <c r="D74" s="5"/>
    </row>
    <row r="75" spans="4:4" x14ac:dyDescent="0.25">
      <c r="D75" s="5"/>
    </row>
    <row r="76" spans="4:4" x14ac:dyDescent="0.25">
      <c r="D76" s="5"/>
    </row>
    <row r="77" spans="4:4" x14ac:dyDescent="0.25">
      <c r="D77" s="5"/>
    </row>
    <row r="78" spans="4:4" x14ac:dyDescent="0.25">
      <c r="D78" s="5"/>
    </row>
    <row r="79" spans="4:4" x14ac:dyDescent="0.25">
      <c r="D79" s="5"/>
    </row>
    <row r="80" spans="4:4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B53" workbookViewId="0">
      <selection activeCell="C86" sqref="C86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2:7" ht="15.75" x14ac:dyDescent="0.25">
      <c r="B1" s="3" t="s">
        <v>113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2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2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2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2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2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2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2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2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2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2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2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2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2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2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2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2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2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2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2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2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2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2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2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2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2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2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2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2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2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2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2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2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2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2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2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2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2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2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2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2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2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2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2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2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2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2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2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2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2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2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2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2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2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2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2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2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2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2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2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2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2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2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2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2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2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2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2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2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2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2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2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2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2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2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2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2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2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2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25">
      <c r="D87" s="5"/>
    </row>
    <row r="88" spans="2:7" x14ac:dyDescent="0.25">
      <c r="D88" s="5"/>
    </row>
    <row r="89" spans="2:7" x14ac:dyDescent="0.25">
      <c r="D89" s="5"/>
    </row>
    <row r="90" spans="2:7" x14ac:dyDescent="0.25">
      <c r="D90" s="5"/>
    </row>
    <row r="91" spans="2:7" x14ac:dyDescent="0.25">
      <c r="D91" s="5"/>
    </row>
    <row r="92" spans="2:7" x14ac:dyDescent="0.25">
      <c r="D92" s="5"/>
    </row>
    <row r="93" spans="2:7" x14ac:dyDescent="0.25">
      <c r="D93" s="5"/>
    </row>
    <row r="94" spans="2:7" x14ac:dyDescent="0.25">
      <c r="D94" s="5"/>
    </row>
    <row r="95" spans="2:7" x14ac:dyDescent="0.25">
      <c r="D95" s="5"/>
    </row>
    <row r="96" spans="2:7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45" workbookViewId="0">
      <selection activeCell="B78" sqref="B78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7" ht="15.75" x14ac:dyDescent="0.25">
      <c r="B1" s="3" t="s">
        <v>114</v>
      </c>
    </row>
    <row r="4" spans="2:7" x14ac:dyDescent="0.2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2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2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2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2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2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2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2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2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2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2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2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2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2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2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2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2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2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2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2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2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2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2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2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2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2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2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2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2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2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2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2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2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2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2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2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2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2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2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2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2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2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2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2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2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2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2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2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2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2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2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2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2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2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2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2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2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2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2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2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2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2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2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2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2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2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2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2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2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2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2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2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2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2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2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25">
      <c r="D79" s="5"/>
    </row>
    <row r="80" spans="2:7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opLeftCell="C1" workbookViewId="0">
      <selection activeCell="L4" sqref="L4"/>
    </sheetView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14.140625" style="2" bestFit="1" customWidth="1"/>
    <col min="5" max="5" width="21.140625" style="2" bestFit="1" customWidth="1"/>
    <col min="6" max="8" width="11" style="2" bestFit="1" customWidth="1"/>
    <col min="9" max="9" width="2" style="2" customWidth="1"/>
    <col min="10" max="16384" width="9.140625" style="2"/>
  </cols>
  <sheetData>
    <row r="1" spans="2:10" ht="15.75" x14ac:dyDescent="0.25">
      <c r="B1" s="3" t="s">
        <v>56</v>
      </c>
    </row>
    <row r="3" spans="2:10" ht="12.75" thickBot="1" x14ac:dyDescent="0.25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  <row r="109" spans="2:10" ht="15" x14ac:dyDescent="0.2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10" ht="15" x14ac:dyDescent="0.25">
      <c r="B110"/>
    </row>
    <row r="111" spans="2:10" ht="15" x14ac:dyDescent="0.25">
      <c r="B111"/>
    </row>
    <row r="112" spans="2:10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106"/>
  <sheetViews>
    <sheetView tabSelected="1" workbookViewId="0">
      <selection activeCell="G3" sqref="G3"/>
    </sheetView>
  </sheetViews>
  <sheetFormatPr defaultRowHeight="15" x14ac:dyDescent="0.25"/>
  <cols>
    <col min="1" max="1" width="2" style="1" customWidth="1"/>
    <col min="2" max="2" width="24.42578125" style="1" bestFit="1" customWidth="1"/>
    <col min="3" max="5" width="9.5703125" style="1" bestFit="1" customWidth="1"/>
    <col min="6" max="6" width="2" style="1" customWidth="1"/>
    <col min="7" max="16384" width="9.140625" style="1"/>
  </cols>
  <sheetData>
    <row r="1" spans="2:8" ht="18.75" x14ac:dyDescent="0.3">
      <c r="B1" s="28" t="s">
        <v>243</v>
      </c>
    </row>
    <row r="2" spans="2:8" ht="16.5" customHeight="1" x14ac:dyDescent="0.25"/>
    <row r="3" spans="2:8" ht="45.75" customHeight="1" x14ac:dyDescent="0.25">
      <c r="B3" s="29" t="s">
        <v>244</v>
      </c>
      <c r="C3" s="33" t="s">
        <v>221</v>
      </c>
      <c r="D3" s="33" t="s">
        <v>222</v>
      </c>
      <c r="E3" s="33" t="s">
        <v>223</v>
      </c>
      <c r="F3" s="2"/>
      <c r="G3" s="39" t="s">
        <v>245</v>
      </c>
      <c r="H3" s="39" t="s">
        <v>246</v>
      </c>
    </row>
    <row r="4" spans="2:8" x14ac:dyDescent="0.25">
      <c r="B4" s="1" t="s">
        <v>226</v>
      </c>
      <c r="C4" s="34">
        <f>SUMIF('2.1 Database'!$J:$J,'2.2 P&amp;L statement'!$B4,'2.1 Database'!F:F)/1000000</f>
        <v>14.500341000000001</v>
      </c>
      <c r="D4" s="35">
        <f>SUMIF('2.1 Database'!$J:$J,'2.2 P&amp;L statement'!$B4,'2.1 Database'!G:G)/1000000</f>
        <v>16.148295364999999</v>
      </c>
      <c r="E4" s="35">
        <f>SUMIF('2.1 Database'!$J:$J,'2.2 P&amp;L statement'!$B4,'2.1 Database'!H:H)/1000000</f>
        <v>15.047803019</v>
      </c>
      <c r="F4" s="2"/>
      <c r="G4" s="40">
        <f>IF(ISERROR((D4/C4)-1),"n.a.",IF(((D4/C4)-1)&gt;1,"&gt;100.0%",IF(((D4/C4)-1)&lt;-1,"&lt;-100.0%",((D4/C4)-1))))</f>
        <v>0.11364935245315944</v>
      </c>
      <c r="H4" s="40">
        <f>IF(ISERROR((E4/D4)-1),"n.a.",IF(((E4/D4)-1)&gt;1,"&gt;100.0%",IF(((E4/D4)-1)&lt;-1,"&lt;-100.0%",((E4/D4)-1))))</f>
        <v>-6.8149134080444096E-2</v>
      </c>
    </row>
    <row r="5" spans="2:8" x14ac:dyDescent="0.25">
      <c r="B5" s="1" t="s">
        <v>66</v>
      </c>
      <c r="C5" s="35">
        <f>SUMIF('2.1 Database'!$J:$J,'2.2 P&amp;L statement'!$B5,'2.1 Database'!F:F)/1000000</f>
        <v>4.7948561920000001</v>
      </c>
      <c r="D5" s="35">
        <f>SUMIF('2.1 Database'!$J:$J,'2.2 P&amp;L statement'!$B5,'2.1 Database'!G:G)/1000000</f>
        <v>6.9602176449999993</v>
      </c>
      <c r="E5" s="35">
        <f>SUMIF('2.1 Database'!$J:$J,'2.2 P&amp;L statement'!$B5,'2.1 Database'!H:H)/1000000</f>
        <v>6.3736175140000002</v>
      </c>
      <c r="F5" s="2"/>
      <c r="G5" s="40">
        <f t="shared" ref="G5:G24" si="0">IF(ISERROR((D5/C5)-1),"n.a.",IF(((D5/C5)-1)&gt;1,"&gt;100.0%",IF(((D5/C5)-1)&lt;-1,"&lt;-100.0%",((D5/C5)-1))))</f>
        <v>0.45160091696030569</v>
      </c>
      <c r="H5" s="40">
        <f t="shared" ref="H5:H24" si="1">IF(ISERROR((E5/D5)-1),"n.a.",IF(((E5/D5)-1)&gt;1,"&gt;100.0%",IF(((E5/D5)-1)&lt;-1,"&lt;-100.0%",((E5/D5)-1))))</f>
        <v>-8.4278992542911935E-2</v>
      </c>
    </row>
    <row r="6" spans="2:8" x14ac:dyDescent="0.25">
      <c r="B6" s="1" t="s">
        <v>229</v>
      </c>
      <c r="C6" s="35">
        <f>SUMIF('2.1 Database'!$J:$J,'2.2 P&amp;L statement'!$B6,'2.1 Database'!F:F)/1000000</f>
        <v>3.2200542519999997</v>
      </c>
      <c r="D6" s="35">
        <f>SUMIF('2.1 Database'!$J:$J,'2.2 P&amp;L statement'!$B6,'2.1 Database'!G:G)/1000000</f>
        <v>2.9240919949999999</v>
      </c>
      <c r="E6" s="35">
        <f>SUMIF('2.1 Database'!$J:$J,'2.2 P&amp;L statement'!$B6,'2.1 Database'!H:H)/1000000</f>
        <v>4.8931777299999997</v>
      </c>
      <c r="F6" s="2"/>
      <c r="G6" s="40">
        <f t="shared" si="0"/>
        <v>-9.1912195832158816E-2</v>
      </c>
      <c r="H6" s="40">
        <f t="shared" si="1"/>
        <v>0.67340074743441836</v>
      </c>
    </row>
    <row r="7" spans="2:8" x14ac:dyDescent="0.25">
      <c r="B7" s="30" t="s">
        <v>238</v>
      </c>
      <c r="C7" s="36">
        <f>SUM(C4:C6)</f>
        <v>22.515251444</v>
      </c>
      <c r="D7" s="36">
        <f t="shared" ref="D7:E7" si="2">SUM(D4:D6)</f>
        <v>26.032605005000001</v>
      </c>
      <c r="E7" s="36">
        <f t="shared" si="2"/>
        <v>26.314598263000001</v>
      </c>
      <c r="F7" s="2"/>
      <c r="G7" s="41">
        <f t="shared" si="0"/>
        <v>0.15622093183140207</v>
      </c>
      <c r="H7" s="41">
        <f t="shared" si="1"/>
        <v>1.0832310402506318E-2</v>
      </c>
    </row>
    <row r="8" spans="2:8" x14ac:dyDescent="0.25">
      <c r="B8" s="1" t="s">
        <v>104</v>
      </c>
      <c r="C8" s="35">
        <f>SUMIF('2.1 Database'!$J:$J,'2.2 P&amp;L statement'!$B8,'2.1 Database'!F:F)/1000000</f>
        <v>-4.4289117640000004</v>
      </c>
      <c r="D8" s="35">
        <f>SUMIF('2.1 Database'!$J:$J,'2.2 P&amp;L statement'!$B8,'2.1 Database'!G:G)/1000000</f>
        <v>-5.4631888250000005</v>
      </c>
      <c r="E8" s="35">
        <f>SUMIF('2.1 Database'!$J:$J,'2.2 P&amp;L statement'!$B8,'2.1 Database'!H:H)/1000000</f>
        <v>-5.6741520669999996</v>
      </c>
      <c r="F8" s="2"/>
      <c r="G8" s="40">
        <f t="shared" si="0"/>
        <v>0.23352848647991253</v>
      </c>
      <c r="H8" s="40">
        <f t="shared" si="1"/>
        <v>3.861540370609462E-2</v>
      </c>
    </row>
    <row r="9" spans="2:8" x14ac:dyDescent="0.25">
      <c r="B9" s="30" t="s">
        <v>239</v>
      </c>
      <c r="C9" s="36">
        <f>SUM(C7:C8)</f>
        <v>18.086339680000002</v>
      </c>
      <c r="D9" s="36">
        <f t="shared" ref="D9:E9" si="3">SUM(D7:D8)</f>
        <v>20.569416180000001</v>
      </c>
      <c r="E9" s="36">
        <f t="shared" si="3"/>
        <v>20.640446195999999</v>
      </c>
      <c r="F9" s="2"/>
      <c r="G9" s="41">
        <f t="shared" si="0"/>
        <v>0.13729016174266606</v>
      </c>
      <c r="H9" s="41">
        <f t="shared" si="1"/>
        <v>3.4531858064625887E-3</v>
      </c>
    </row>
    <row r="10" spans="2:8" x14ac:dyDescent="0.25">
      <c r="B10" s="1" t="s">
        <v>227</v>
      </c>
      <c r="C10" s="35">
        <f>SUMIF('2.1 Database'!$J:$J,'2.2 P&amp;L statement'!$B10,'2.1 Database'!F:F)/1000000</f>
        <v>-3.3966489799999997</v>
      </c>
      <c r="D10" s="35">
        <f>SUMIF('2.1 Database'!$J:$J,'2.2 P&amp;L statement'!$B10,'2.1 Database'!G:G)/1000000</f>
        <v>-3.7048433449999996</v>
      </c>
      <c r="E10" s="35">
        <f>SUMIF('2.1 Database'!$J:$J,'2.2 P&amp;L statement'!$B10,'2.1 Database'!H:H)/1000000</f>
        <v>-6.6874830379999999</v>
      </c>
      <c r="F10" s="2"/>
      <c r="G10" s="40">
        <f t="shared" si="0"/>
        <v>9.0734829184498045E-2</v>
      </c>
      <c r="H10" s="40">
        <f t="shared" si="1"/>
        <v>0.80506499607475335</v>
      </c>
    </row>
    <row r="11" spans="2:8" x14ac:dyDescent="0.25">
      <c r="B11" s="1" t="s">
        <v>228</v>
      </c>
      <c r="C11" s="35">
        <f>SUMIF('2.1 Database'!$J:$J,'2.2 P&amp;L statement'!$B11,'2.1 Database'!F:F)/1000000</f>
        <v>-6.17073904</v>
      </c>
      <c r="D11" s="35">
        <f>SUMIF('2.1 Database'!$J:$J,'2.2 P&amp;L statement'!$B11,'2.1 Database'!G:G)/1000000</f>
        <v>-8.0718589449999989</v>
      </c>
      <c r="E11" s="35">
        <f>SUMIF('2.1 Database'!$J:$J,'2.2 P&amp;L statement'!$B11,'2.1 Database'!H:H)/1000000</f>
        <v>-5.8358881759999992</v>
      </c>
      <c r="F11" s="2"/>
      <c r="G11" s="40">
        <f t="shared" si="0"/>
        <v>0.30808625882192531</v>
      </c>
      <c r="H11" s="40">
        <f t="shared" si="1"/>
        <v>-0.27700815688622027</v>
      </c>
    </row>
    <row r="12" spans="2:8" x14ac:dyDescent="0.25">
      <c r="B12" s="1" t="s">
        <v>230</v>
      </c>
      <c r="C12" s="35">
        <f>SUMIF('2.1 Database'!$J:$J,'2.2 P&amp;L statement'!$B12,'2.1 Database'!F:F)/1000000</f>
        <v>-1.127445872</v>
      </c>
      <c r="D12" s="35">
        <f>SUMIF('2.1 Database'!$J:$J,'2.2 P&amp;L statement'!$B12,'2.1 Database'!G:G)/1000000</f>
        <v>-1.0553814750000001</v>
      </c>
      <c r="E12" s="35">
        <f>SUMIF('2.1 Database'!$J:$J,'2.2 P&amp;L statement'!$B12,'2.1 Database'!H:H)/1000000</f>
        <v>1.596053449</v>
      </c>
      <c r="F12" s="2"/>
      <c r="G12" s="40">
        <f t="shared" si="0"/>
        <v>-6.391827651305626E-2</v>
      </c>
      <c r="H12" s="40" t="str">
        <f t="shared" si="1"/>
        <v>&lt;-100.0%</v>
      </c>
    </row>
    <row r="13" spans="2:8" x14ac:dyDescent="0.25">
      <c r="B13" s="1" t="s">
        <v>231</v>
      </c>
      <c r="C13" s="35">
        <f>SUMIF('2.1 Database'!$J:$J,'2.2 P&amp;L statement'!$B13,'2.1 Database'!F:F)/1000000</f>
        <v>-2.5430882079999995</v>
      </c>
      <c r="D13" s="35">
        <f>SUMIF('2.1 Database'!$J:$J,'2.2 P&amp;L statement'!$B13,'2.1 Database'!G:G)/1000000</f>
        <v>-1.837786345</v>
      </c>
      <c r="E13" s="35">
        <f>SUMIF('2.1 Database'!$J:$J,'2.2 P&amp;L statement'!$B13,'2.1 Database'!H:H)/1000000</f>
        <v>-1.9549839309999999</v>
      </c>
      <c r="F13" s="2"/>
      <c r="G13" s="40">
        <f t="shared" si="0"/>
        <v>-0.27734069969782171</v>
      </c>
      <c r="H13" s="40">
        <f t="shared" si="1"/>
        <v>6.3771061483210545E-2</v>
      </c>
    </row>
    <row r="14" spans="2:8" x14ac:dyDescent="0.25">
      <c r="B14" s="1" t="s">
        <v>232</v>
      </c>
      <c r="C14" s="35">
        <f>SUMIF('2.1 Database'!$J:$J,'2.2 P&amp;L statement'!$B14,'2.1 Database'!F:F)/1000000</f>
        <v>-1.8135250039999999</v>
      </c>
      <c r="D14" s="35">
        <f>SUMIF('2.1 Database'!$J:$J,'2.2 P&amp;L statement'!$B14,'2.1 Database'!G:G)/1000000</f>
        <v>-2.3932591899999998</v>
      </c>
      <c r="E14" s="35">
        <f>SUMIF('2.1 Database'!$J:$J,'2.2 P&amp;L statement'!$B14,'2.1 Database'!H:H)/1000000</f>
        <v>-2.5144318869999998</v>
      </c>
      <c r="F14" s="2"/>
      <c r="G14" s="40">
        <f t="shared" si="0"/>
        <v>0.31967256294857238</v>
      </c>
      <c r="H14" s="40">
        <f t="shared" si="1"/>
        <v>5.0630829082912721E-2</v>
      </c>
    </row>
    <row r="15" spans="2:8" x14ac:dyDescent="0.25">
      <c r="B15" s="1" t="s">
        <v>74</v>
      </c>
      <c r="C15" s="35">
        <f>SUMIF('2.1 Database'!$J:$J,'2.2 P&amp;L statement'!$B15,'2.1 Database'!F:F)/1000000</f>
        <v>5.7221999999999995E-5</v>
      </c>
      <c r="D15" s="35">
        <f>SUMIF('2.1 Database'!$J:$J,'2.2 P&amp;L statement'!$B15,'2.1 Database'!G:G)/1000000</f>
        <v>-7.3574899999999995E-3</v>
      </c>
      <c r="E15" s="35">
        <f>SUMIF('2.1 Database'!$J:$J,'2.2 P&amp;L statement'!$B15,'2.1 Database'!H:H)/1000000</f>
        <v>4.678542799999999E-2</v>
      </c>
      <c r="F15" s="2"/>
      <c r="G15" s="40" t="str">
        <f t="shared" si="0"/>
        <v>&lt;-100.0%</v>
      </c>
      <c r="H15" s="40" t="str">
        <f t="shared" si="1"/>
        <v>&lt;-100.0%</v>
      </c>
    </row>
    <row r="16" spans="2:8" x14ac:dyDescent="0.25">
      <c r="B16" s="1" t="s">
        <v>67</v>
      </c>
      <c r="C16" s="35">
        <f>SUMIF('2.1 Database'!$J:$J,'2.2 P&amp;L statement'!$B16,'2.1 Database'!F:F)/1000000</f>
        <v>5.2683321979999995</v>
      </c>
      <c r="D16" s="35">
        <f>SUMIF('2.1 Database'!$J:$J,'2.2 P&amp;L statement'!$B16,'2.1 Database'!G:G)/1000000</f>
        <v>0.74482694999999999</v>
      </c>
      <c r="E16" s="35">
        <f>SUMIF('2.1 Database'!$J:$J,'2.2 P&amp;L statement'!$B16,'2.1 Database'!H:H)/1000000</f>
        <v>0</v>
      </c>
      <c r="F16" s="2"/>
      <c r="G16" s="40">
        <f t="shared" si="0"/>
        <v>-0.85862187082986985</v>
      </c>
      <c r="H16" s="40">
        <f t="shared" si="1"/>
        <v>-1</v>
      </c>
    </row>
    <row r="17" spans="2:8" x14ac:dyDescent="0.25">
      <c r="B17" s="31" t="s">
        <v>240</v>
      </c>
      <c r="C17" s="37">
        <f>SUM(C9:C16)</f>
        <v>8.3032819960000026</v>
      </c>
      <c r="D17" s="37">
        <f t="shared" ref="D17:E17" si="4">SUM(D9:D16)</f>
        <v>4.2437563400000018</v>
      </c>
      <c r="E17" s="37">
        <f t="shared" si="4"/>
        <v>5.2904980409999993</v>
      </c>
      <c r="F17" s="2"/>
      <c r="G17" s="42">
        <f t="shared" si="0"/>
        <v>-0.48890615276653548</v>
      </c>
      <c r="H17" s="42">
        <f t="shared" si="1"/>
        <v>0.24665452423217982</v>
      </c>
    </row>
    <row r="18" spans="2:8" x14ac:dyDescent="0.25">
      <c r="B18" s="1" t="s">
        <v>72</v>
      </c>
      <c r="C18" s="35">
        <f>SUMIF('2.1 Database'!$J:$J,'2.2 P&amp;L statement'!$B18,'2.1 Database'!F:F)/1000000</f>
        <v>-2.045243514</v>
      </c>
      <c r="D18" s="35">
        <f>SUMIF('2.1 Database'!$J:$J,'2.2 P&amp;L statement'!$B18,'2.1 Database'!G:G)/1000000</f>
        <v>-2.0440058150000002</v>
      </c>
      <c r="E18" s="35">
        <f>SUMIF('2.1 Database'!$J:$J,'2.2 P&amp;L statement'!$B18,'2.1 Database'!H:H)/1000000</f>
        <v>-1.8883615140000001</v>
      </c>
      <c r="F18" s="2"/>
      <c r="G18" s="40">
        <f t="shared" si="0"/>
        <v>-6.0515972378227811E-4</v>
      </c>
      <c r="H18" s="40">
        <f t="shared" si="1"/>
        <v>-7.6146701666795491E-2</v>
      </c>
    </row>
    <row r="19" spans="2:8" x14ac:dyDescent="0.25">
      <c r="B19" s="30" t="s">
        <v>241</v>
      </c>
      <c r="C19" s="36">
        <f>SUM(C17:C18)</f>
        <v>6.2580384820000026</v>
      </c>
      <c r="D19" s="36">
        <f t="shared" ref="D19:E19" si="5">SUM(D17:D18)</f>
        <v>2.1997505250000016</v>
      </c>
      <c r="E19" s="36">
        <f t="shared" si="5"/>
        <v>3.4021365269999992</v>
      </c>
      <c r="G19" s="41">
        <f t="shared" si="0"/>
        <v>-0.64849201050342775</v>
      </c>
      <c r="H19" s="41">
        <f t="shared" si="1"/>
        <v>0.54660107513782585</v>
      </c>
    </row>
    <row r="20" spans="2:8" x14ac:dyDescent="0.25">
      <c r="B20" s="1" t="s">
        <v>233</v>
      </c>
      <c r="C20" s="35">
        <f>SUMIF('2.1 Database'!$J:$J,'2.2 P&amp;L statement'!$B20,'2.1 Database'!F:F)/1000000</f>
        <v>-2.8426923660000001</v>
      </c>
      <c r="D20" s="35">
        <f>SUMIF('2.1 Database'!$J:$J,'2.2 P&amp;L statement'!$B20,'2.1 Database'!G:G)/1000000</f>
        <v>-2.7107469200000001</v>
      </c>
      <c r="E20" s="35">
        <f>SUMIF('2.1 Database'!$J:$J,'2.2 P&amp;L statement'!$B20,'2.1 Database'!H:H)/1000000</f>
        <v>-2.250707829</v>
      </c>
      <c r="G20" s="40">
        <f t="shared" si="0"/>
        <v>-4.6415661285805099E-2</v>
      </c>
      <c r="H20" s="40">
        <f t="shared" si="1"/>
        <v>-0.16970934748862498</v>
      </c>
    </row>
    <row r="21" spans="2:8" x14ac:dyDescent="0.25">
      <c r="B21" s="1" t="s">
        <v>234</v>
      </c>
      <c r="C21" s="35">
        <f>SUMIF('2.1 Database'!$J:$J,'2.2 P&amp;L statement'!$B21,'2.1 Database'!F:F)/1000000</f>
        <v>-2.2762999999999999E-2</v>
      </c>
      <c r="D21" s="35">
        <f>SUMIF('2.1 Database'!$J:$J,'2.2 P&amp;L statement'!$B21,'2.1 Database'!G:G)/1000000</f>
        <v>-4.5786198000000002</v>
      </c>
      <c r="E21" s="35">
        <f>SUMIF('2.1 Database'!$J:$J,'2.2 P&amp;L statement'!$B21,'2.1 Database'!H:H)/1000000</f>
        <v>-7.1731959999999989E-3</v>
      </c>
      <c r="G21" s="40" t="str">
        <f t="shared" si="0"/>
        <v>&gt;100.0%</v>
      </c>
      <c r="H21" s="40">
        <f t="shared" si="1"/>
        <v>-0.99843332787754069</v>
      </c>
    </row>
    <row r="22" spans="2:8" x14ac:dyDescent="0.25">
      <c r="B22" s="30" t="s">
        <v>242</v>
      </c>
      <c r="C22" s="36">
        <f>SUM(C19:C21)</f>
        <v>3.3925831160000026</v>
      </c>
      <c r="D22" s="36">
        <f t="shared" ref="D22:E22" si="6">SUM(D19:D21)</f>
        <v>-5.0896161949999987</v>
      </c>
      <c r="E22" s="36">
        <f t="shared" si="6"/>
        <v>1.1442555019999991</v>
      </c>
      <c r="G22" s="41" t="str">
        <f t="shared" si="0"/>
        <v>&lt;-100.0%</v>
      </c>
      <c r="H22" s="41" t="str">
        <f t="shared" si="1"/>
        <v>&lt;-100.0%</v>
      </c>
    </row>
    <row r="23" spans="2:8" x14ac:dyDescent="0.25">
      <c r="B23" s="1" t="s">
        <v>235</v>
      </c>
      <c r="C23" s="35">
        <f>SUMIF('2.1 Database'!$J:$J,'2.2 P&amp;L statement'!$B23,'2.1 Database'!F:F)/1000000</f>
        <v>-0.48846512199999997</v>
      </c>
      <c r="D23" s="35">
        <f>SUMIF('2.1 Database'!$J:$J,'2.2 P&amp;L statement'!$B23,'2.1 Database'!G:G)/1000000</f>
        <v>-0.98419196500000017</v>
      </c>
      <c r="E23" s="35">
        <f>SUMIF('2.1 Database'!$J:$J,'2.2 P&amp;L statement'!$B23,'2.1 Database'!H:H)/1000000</f>
        <v>-0.36496502599999997</v>
      </c>
      <c r="G23" s="40" t="str">
        <f t="shared" si="0"/>
        <v>&gt;100.0%</v>
      </c>
      <c r="H23" s="40">
        <f t="shared" si="1"/>
        <v>-0.62917292664546398</v>
      </c>
    </row>
    <row r="24" spans="2:8" ht="15.75" thickBot="1" x14ac:dyDescent="0.3">
      <c r="B24" s="32" t="s">
        <v>236</v>
      </c>
      <c r="C24" s="38">
        <f>SUM(C22:C23)</f>
        <v>2.9041179940000026</v>
      </c>
      <c r="D24" s="38">
        <f t="shared" ref="D24:E24" si="7">SUM(D22:D23)</f>
        <v>-6.0738081599999987</v>
      </c>
      <c r="E24" s="38">
        <f t="shared" si="7"/>
        <v>0.77929047599999923</v>
      </c>
      <c r="G24" s="43" t="str">
        <f t="shared" si="0"/>
        <v>&lt;-100.0%</v>
      </c>
      <c r="H24" s="43" t="str">
        <f t="shared" si="1"/>
        <v>&lt;-100.0%</v>
      </c>
    </row>
    <row r="26" spans="2:8" x14ac:dyDescent="0.25">
      <c r="B26" s="44" t="s">
        <v>247</v>
      </c>
      <c r="C26" s="44"/>
      <c r="D26" s="44"/>
      <c r="E26" s="44"/>
    </row>
    <row r="27" spans="2:8" x14ac:dyDescent="0.25">
      <c r="B27" s="44" t="s">
        <v>248</v>
      </c>
      <c r="C27" s="45">
        <f>C9/C7</f>
        <v>0.80329281353949789</v>
      </c>
      <c r="D27" s="45">
        <f t="shared" ref="D27:E27" si="8">D9/D7</f>
        <v>0.79014052477841912</v>
      </c>
      <c r="E27" s="45">
        <f t="shared" si="8"/>
        <v>0.78437246085651935</v>
      </c>
    </row>
    <row r="28" spans="2:8" x14ac:dyDescent="0.25">
      <c r="B28" s="44" t="s">
        <v>249</v>
      </c>
      <c r="C28" s="45">
        <f>C17/C7</f>
        <v>0.36878477758296191</v>
      </c>
      <c r="D28" s="45">
        <f t="shared" ref="D28:E28" si="9">D17/D7</f>
        <v>0.16301696811306118</v>
      </c>
      <c r="E28" s="45">
        <f t="shared" si="9"/>
        <v>0.20104802619916018</v>
      </c>
    </row>
    <row r="29" spans="2:8" x14ac:dyDescent="0.25">
      <c r="B29" s="44" t="s">
        <v>241</v>
      </c>
      <c r="C29" s="45">
        <f>C22/C7</f>
        <v>0.15067933504709222</v>
      </c>
      <c r="D29" s="45">
        <f>D22/D7</f>
        <v>-0.19550929282806895</v>
      </c>
      <c r="E29" s="45">
        <f t="shared" ref="D29:E29" si="10">E22/E7</f>
        <v>4.3483677408402435E-2</v>
      </c>
    </row>
    <row r="76" spans="6:6" x14ac:dyDescent="0.25">
      <c r="F76" s="2"/>
    </row>
    <row r="77" spans="6:6" x14ac:dyDescent="0.25">
      <c r="F77" s="2" t="s">
        <v>227</v>
      </c>
    </row>
    <row r="78" spans="6:6" x14ac:dyDescent="0.25">
      <c r="F78" s="2" t="s">
        <v>234</v>
      </c>
    </row>
    <row r="79" spans="6:6" x14ac:dyDescent="0.25">
      <c r="F79" s="2" t="s">
        <v>227</v>
      </c>
    </row>
    <row r="80" spans="6:6" x14ac:dyDescent="0.25">
      <c r="F80" s="2" t="s">
        <v>227</v>
      </c>
    </row>
    <row r="81" spans="6:6" x14ac:dyDescent="0.25">
      <c r="F81" s="2" t="s">
        <v>227</v>
      </c>
    </row>
    <row r="82" spans="6:6" x14ac:dyDescent="0.25">
      <c r="F82" s="2" t="s">
        <v>234</v>
      </c>
    </row>
    <row r="83" spans="6:6" x14ac:dyDescent="0.25">
      <c r="F83" s="2" t="s">
        <v>234</v>
      </c>
    </row>
    <row r="84" spans="6:6" x14ac:dyDescent="0.25">
      <c r="F84" s="2" t="s">
        <v>234</v>
      </c>
    </row>
    <row r="85" spans="6:6" x14ac:dyDescent="0.25">
      <c r="F85" s="2"/>
    </row>
    <row r="86" spans="6:6" x14ac:dyDescent="0.25">
      <c r="F86" s="2" t="s">
        <v>233</v>
      </c>
    </row>
    <row r="87" spans="6:6" x14ac:dyDescent="0.25">
      <c r="F87" s="2" t="s">
        <v>233</v>
      </c>
    </row>
    <row r="88" spans="6:6" x14ac:dyDescent="0.25">
      <c r="F88" s="2" t="s">
        <v>233</v>
      </c>
    </row>
    <row r="89" spans="6:6" x14ac:dyDescent="0.25">
      <c r="F89" s="2" t="s">
        <v>233</v>
      </c>
    </row>
    <row r="90" spans="6:6" x14ac:dyDescent="0.25">
      <c r="F90" s="2" t="s">
        <v>234</v>
      </c>
    </row>
    <row r="91" spans="6:6" x14ac:dyDescent="0.25">
      <c r="F91" s="2"/>
    </row>
    <row r="92" spans="6:6" x14ac:dyDescent="0.25">
      <c r="F92" s="2" t="s">
        <v>236</v>
      </c>
    </row>
    <row r="93" spans="6:6" x14ac:dyDescent="0.25">
      <c r="F93" s="2" t="s">
        <v>227</v>
      </c>
    </row>
    <row r="94" spans="6:6" x14ac:dyDescent="0.25">
      <c r="F94" s="2" t="s">
        <v>227</v>
      </c>
    </row>
    <row r="95" spans="6:6" x14ac:dyDescent="0.25">
      <c r="F95" s="2" t="s">
        <v>227</v>
      </c>
    </row>
    <row r="96" spans="6:6" x14ac:dyDescent="0.25">
      <c r="F96" s="2" t="s">
        <v>227</v>
      </c>
    </row>
    <row r="97" spans="6:6" x14ac:dyDescent="0.25">
      <c r="F97" s="2" t="s">
        <v>227</v>
      </c>
    </row>
    <row r="98" spans="6:6" x14ac:dyDescent="0.25">
      <c r="F98" s="2" t="s">
        <v>227</v>
      </c>
    </row>
    <row r="99" spans="6:6" x14ac:dyDescent="0.25">
      <c r="F99" s="2" t="s">
        <v>229</v>
      </c>
    </row>
    <row r="100" spans="6:6" x14ac:dyDescent="0.25">
      <c r="F100" s="2" t="s">
        <v>227</v>
      </c>
    </row>
    <row r="101" spans="6:6" x14ac:dyDescent="0.25">
      <c r="F101" s="2" t="s">
        <v>74</v>
      </c>
    </row>
    <row r="102" spans="6:6" x14ac:dyDescent="0.25">
      <c r="F102" s="2" t="s">
        <v>230</v>
      </c>
    </row>
    <row r="103" spans="6:6" x14ac:dyDescent="0.25">
      <c r="F103" s="2" t="s">
        <v>227</v>
      </c>
    </row>
    <row r="104" spans="6:6" x14ac:dyDescent="0.25">
      <c r="F104" s="2" t="s">
        <v>227</v>
      </c>
    </row>
    <row r="105" spans="6:6" x14ac:dyDescent="0.25">
      <c r="F105" s="2"/>
    </row>
    <row r="106" spans="6:6" x14ac:dyDescent="0.25">
      <c r="F106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2023-01-12T03:18:33Z</dcterms:modified>
</cp:coreProperties>
</file>